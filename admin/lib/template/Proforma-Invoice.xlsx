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0" windowWidth="20055" windowHeight="7635"/>
  </bookViews>
  <sheets>
    <sheet name="Sheet1" sheetId="1" r:id="rId1"/>
    <sheet name="Sheet2" sheetId="2" state="hidden" r:id="rId2"/>
  </sheets>
  <calcPr calcId="124519"/>
</workbook>
</file>

<file path=xl/calcChain.xml><?xml version="1.0" encoding="utf-8"?>
<calcChain xmlns="http://schemas.openxmlformats.org/spreadsheetml/2006/main">
  <c r="H18" i="2"/>
  <c r="G12" i="1"/>
  <c r="K19" i="2"/>
  <c r="K17"/>
  <c r="G13" i="1"/>
  <c r="G18" i="2"/>
  <c r="K18"/>
  <c r="G17"/>
  <c r="I18"/>
  <c r="G18" i="1"/>
  <c r="G16"/>
  <c r="G15"/>
  <c r="I17" i="2"/>
  <c r="H17"/>
</calcChain>
</file>

<file path=xl/sharedStrings.xml><?xml version="1.0" encoding="utf-8"?>
<sst xmlns="http://schemas.openxmlformats.org/spreadsheetml/2006/main" count="81" uniqueCount="67">
  <si>
    <t>25 LORONG 39 GEYLANG SINGAPORE 387875</t>
  </si>
  <si>
    <t>TEL: +65 674 74 126 FAX: +65 674 84 322</t>
  </si>
  <si>
    <t>EMAIL: enquiry@novo-ship-supplies.com.sg</t>
  </si>
  <si>
    <t>WEBSITE: www.novo-ship-supplies.com.sg</t>
  </si>
  <si>
    <t>QUOTATION</t>
  </si>
  <si>
    <t>TO: THE MASTER &amp; OWNER OF</t>
  </si>
  <si>
    <t>QTN ID:</t>
  </si>
  <si>
    <t>[blkMain.quote_code]</t>
  </si>
  <si>
    <t>[blkMain.company_name]</t>
  </si>
  <si>
    <t>DATE:</t>
  </si>
  <si>
    <t>[blkMain.quote_date]</t>
  </si>
  <si>
    <t>CURRENCY:</t>
  </si>
  <si>
    <t>SGD</t>
  </si>
  <si>
    <t>[sb.product_title;block=Row;p1=[mb.$]]</t>
  </si>
  <si>
    <t>[sb.serial_no;block=Row;p1=[mb.$]]</t>
  </si>
  <si>
    <t>[sb.unit;block=Row;p1=[mb.$]]</t>
  </si>
  <si>
    <t>[sb.qty;block=Row;p1=[mb.$]]</t>
  </si>
  <si>
    <t>[sb.selling_price;block=Row;p1=[mb.$]]</t>
  </si>
  <si>
    <t>[blkH.itemNameHeader]</t>
  </si>
  <si>
    <t>SUB TOTAL SGD</t>
  </si>
  <si>
    <t xml:space="preserve"> </t>
  </si>
  <si>
    <t>TOTAL SGD</t>
  </si>
  <si>
    <t>[mb.empty_space]</t>
  </si>
  <si>
    <t>[sb.product_code;block=Row;p1=[mb.$]]</t>
  </si>
  <si>
    <t>[sb.cost_price;block=Row;p1=[mb.$]]</t>
  </si>
  <si>
    <t>[mb.discount_percent]</t>
  </si>
  <si>
    <t>[mb.mark_up]</t>
  </si>
  <si>
    <t>ITEM NO</t>
  </si>
  <si>
    <t>DEPARTMENT : [mb.product_group_title;block=Row+Row+Row+Row+Row+Row+Row+Row+Row+Row]</t>
  </si>
  <si>
    <t>UP</t>
  </si>
  <si>
    <t>UOM</t>
  </si>
  <si>
    <t>QTY</t>
  </si>
  <si>
    <t>TUP</t>
  </si>
  <si>
    <t>SERVICE COST(%)</t>
  </si>
  <si>
    <t>USP</t>
  </si>
  <si>
    <t>TOTAL SALE AMOUNT</t>
  </si>
  <si>
    <t>ITEM CODE</t>
  </si>
  <si>
    <t>DISCOUNT         (%)</t>
  </si>
  <si>
    <t>(Private &amp; Confidential)</t>
  </si>
  <si>
    <t>TOTAL SELLING PRICE</t>
  </si>
  <si>
    <t>PROFORMA INVOICE</t>
  </si>
  <si>
    <t>SERIAL NO</t>
  </si>
  <si>
    <t>NAME OF THE ITEMS</t>
  </si>
  <si>
    <t>PART NUMBER</t>
  </si>
  <si>
    <t>AMOUNT</t>
  </si>
  <si>
    <t>SUB TOTAL</t>
  </si>
  <si>
    <t>TOTAL</t>
  </si>
  <si>
    <t>[blkPrice.selling_price;block=Row]</t>
  </si>
  <si>
    <t>[blkQty.qty;block=Row]</t>
  </si>
  <si>
    <t>[blkUom.unit;block=Row]</t>
  </si>
  <si>
    <t>[blkPartNumber.part_number;block=Row]</t>
  </si>
  <si>
    <t>[blkProduct.product_title;block=Row]</t>
  </si>
  <si>
    <t>[blkSerialNo.serial_no;block=Row]</t>
  </si>
  <si>
    <t>QUOTE CODE:</t>
  </si>
  <si>
    <t>QUOTE DATE:</t>
  </si>
  <si>
    <t>[blkMain.empty_space]</t>
  </si>
  <si>
    <t>DISCOUNT</t>
  </si>
  <si>
    <t>[blkDiscount.discount;]</t>
  </si>
  <si>
    <t>Client Name: [blkMain.company_name]</t>
  </si>
  <si>
    <t>Company Name</t>
  </si>
  <si>
    <t>Door No., Street Address,</t>
  </si>
  <si>
    <t>Area Address,</t>
  </si>
  <si>
    <t>City  – Pincode.</t>
  </si>
  <si>
    <t xml:space="preserve">Phone: +91 99999 99999 </t>
  </si>
  <si>
    <t>TIN: 33333333333    GST: 111111111111111</t>
  </si>
  <si>
    <t>GST</t>
  </si>
  <si>
    <t>ENTER GST(%)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</si>
</sst>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[$-14009]dd/mm/yyyy;@"/>
  </numFmts>
  <fonts count="1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indexed="8"/>
      <name val="Cambria"/>
      <family val="1"/>
      <scheme val="major"/>
    </font>
    <font>
      <sz val="13"/>
      <color indexed="8"/>
      <name val="Cambria"/>
      <family val="1"/>
      <scheme val="major"/>
    </font>
    <font>
      <sz val="11"/>
      <color theme="1"/>
      <name val="Cambria"/>
      <family val="1"/>
      <scheme val="major"/>
    </font>
    <font>
      <sz val="13"/>
      <color rgb="FFFF0000"/>
      <name val="Cambria"/>
      <family val="1"/>
      <scheme val="major"/>
    </font>
    <font>
      <sz val="13"/>
      <color theme="1"/>
      <name val="Cambria"/>
      <family val="1"/>
      <scheme val="major"/>
    </font>
    <font>
      <b/>
      <u/>
      <sz val="15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5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3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3"/>
      <color indexed="8"/>
      <name val="Calibri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4" fontId="5" fillId="2" borderId="8" xfId="0" applyNumberFormat="1" applyFont="1" applyFill="1" applyBorder="1" applyAlignment="1" applyProtection="1">
      <alignment horizontal="left"/>
    </xf>
    <xf numFmtId="0" fontId="4" fillId="0" borderId="7" xfId="0" applyFont="1" applyBorder="1"/>
    <xf numFmtId="0" fontId="6" fillId="0" borderId="0" xfId="0" applyFont="1"/>
    <xf numFmtId="49" fontId="4" fillId="0" borderId="9" xfId="0" applyNumberFormat="1" applyFont="1" applyBorder="1" applyAlignment="1">
      <alignment horizontal="left"/>
    </xf>
    <xf numFmtId="0" fontId="4" fillId="0" borderId="9" xfId="0" applyFont="1" applyBorder="1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Font="1"/>
    <xf numFmtId="0" fontId="8" fillId="3" borderId="9" xfId="0" applyFont="1" applyFill="1" applyBorder="1" applyAlignment="1">
      <alignment wrapText="1"/>
    </xf>
    <xf numFmtId="0" fontId="8" fillId="3" borderId="9" xfId="0" applyFont="1" applyFill="1" applyBorder="1"/>
    <xf numFmtId="0" fontId="8" fillId="0" borderId="10" xfId="0" applyFont="1" applyFill="1" applyBorder="1" applyAlignment="1">
      <alignment horizontal="right"/>
    </xf>
    <xf numFmtId="0" fontId="4" fillId="0" borderId="0" xfId="0" applyFont="1"/>
    <xf numFmtId="0" fontId="4" fillId="0" borderId="11" xfId="0" applyFont="1" applyBorder="1"/>
    <xf numFmtId="0" fontId="8" fillId="0" borderId="11" xfId="0" applyFont="1" applyFill="1" applyBorder="1"/>
    <xf numFmtId="0" fontId="8" fillId="0" borderId="11" xfId="0" applyFont="1" applyFill="1" applyBorder="1" applyAlignment="1">
      <alignment horizontal="right"/>
    </xf>
    <xf numFmtId="0" fontId="8" fillId="0" borderId="0" xfId="0" applyFont="1" applyFill="1" applyBorder="1" applyAlignment="1">
      <alignment horizontal="right"/>
    </xf>
    <xf numFmtId="2" fontId="4" fillId="0" borderId="9" xfId="0" applyNumberFormat="1" applyFont="1" applyBorder="1" applyAlignment="1">
      <alignment horizontal="right"/>
    </xf>
    <xf numFmtId="2" fontId="8" fillId="0" borderId="12" xfId="0" applyNumberFormat="1" applyFont="1" applyFill="1" applyBorder="1" applyAlignment="1">
      <alignment horizontal="right"/>
    </xf>
    <xf numFmtId="2" fontId="8" fillId="0" borderId="12" xfId="0" applyNumberFormat="1" applyFont="1" applyBorder="1" applyAlignment="1">
      <alignment horizontal="right"/>
    </xf>
    <xf numFmtId="2" fontId="8" fillId="0" borderId="13" xfId="0" applyNumberFormat="1" applyFont="1" applyFill="1" applyBorder="1" applyAlignment="1">
      <alignment horizontal="right"/>
    </xf>
    <xf numFmtId="2" fontId="8" fillId="0" borderId="9" xfId="0" applyNumberFormat="1" applyFont="1" applyFill="1" applyBorder="1" applyAlignment="1">
      <alignment horizontal="right"/>
    </xf>
    <xf numFmtId="0" fontId="8" fillId="0" borderId="9" xfId="0" applyFont="1" applyFill="1" applyBorder="1" applyAlignment="1">
      <alignment wrapText="1"/>
    </xf>
    <xf numFmtId="0" fontId="8" fillId="0" borderId="9" xfId="0" applyFont="1" applyFill="1" applyBorder="1"/>
    <xf numFmtId="0" fontId="4" fillId="4" borderId="11" xfId="0" applyFont="1" applyFill="1" applyBorder="1"/>
    <xf numFmtId="0" fontId="8" fillId="4" borderId="11" xfId="0" applyFont="1" applyFill="1" applyBorder="1" applyAlignment="1">
      <alignment horizontal="right"/>
    </xf>
    <xf numFmtId="2" fontId="8" fillId="4" borderId="11" xfId="0" applyNumberFormat="1" applyFont="1" applyFill="1" applyBorder="1" applyAlignment="1">
      <alignment horizontal="right"/>
    </xf>
    <xf numFmtId="2" fontId="4" fillId="4" borderId="11" xfId="0" applyNumberFormat="1" applyFont="1" applyFill="1" applyBorder="1"/>
    <xf numFmtId="2" fontId="8" fillId="4" borderId="9" xfId="0" applyNumberFormat="1" applyFont="1" applyFill="1" applyBorder="1" applyAlignment="1">
      <alignment horizontal="right"/>
    </xf>
    <xf numFmtId="0" fontId="4" fillId="0" borderId="9" xfId="0" applyFont="1" applyBorder="1" applyAlignment="1">
      <alignment wrapText="1"/>
    </xf>
    <xf numFmtId="0" fontId="8" fillId="0" borderId="9" xfId="0" applyFont="1" applyBorder="1" applyAlignment="1">
      <alignment wrapText="1"/>
    </xf>
    <xf numFmtId="49" fontId="4" fillId="0" borderId="12" xfId="0" applyNumberFormat="1" applyFont="1" applyBorder="1" applyAlignment="1">
      <alignment horizontal="left"/>
    </xf>
    <xf numFmtId="0" fontId="4" fillId="4" borderId="15" xfId="0" applyFont="1" applyFill="1" applyBorder="1"/>
    <xf numFmtId="0" fontId="8" fillId="0" borderId="14" xfId="0" applyFont="1" applyFill="1" applyBorder="1" applyAlignment="1">
      <alignment wrapText="1"/>
    </xf>
    <xf numFmtId="0" fontId="8" fillId="4" borderId="9" xfId="0" applyNumberFormat="1" applyFont="1" applyFill="1" applyBorder="1" applyAlignment="1">
      <alignment horizontal="center" wrapText="1"/>
    </xf>
    <xf numFmtId="0" fontId="8" fillId="3" borderId="9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4" fillId="0" borderId="0" xfId="0" applyFont="1" applyBorder="1" applyAlignment="1">
      <alignment horizontal="right" wrapText="1"/>
    </xf>
    <xf numFmtId="0" fontId="4" fillId="0" borderId="0" xfId="0" applyFont="1" applyAlignment="1">
      <alignment wrapText="1"/>
    </xf>
    <xf numFmtId="0" fontId="10" fillId="0" borderId="9" xfId="0" applyFont="1" applyFill="1" applyBorder="1" applyAlignment="1">
      <alignment wrapText="1"/>
    </xf>
    <xf numFmtId="0" fontId="10" fillId="0" borderId="9" xfId="0" applyFont="1" applyFill="1" applyBorder="1"/>
    <xf numFmtId="49" fontId="0" fillId="0" borderId="12" xfId="0" applyNumberFormat="1" applyFont="1" applyBorder="1" applyAlignment="1">
      <alignment horizontal="center"/>
    </xf>
    <xf numFmtId="0" fontId="0" fillId="0" borderId="9" xfId="0" applyFont="1" applyBorder="1" applyAlignment="1">
      <alignment wrapText="1"/>
    </xf>
    <xf numFmtId="2" fontId="0" fillId="0" borderId="9" xfId="0" applyNumberFormat="1" applyFont="1" applyBorder="1" applyAlignment="1">
      <alignment horizontal="right"/>
    </xf>
    <xf numFmtId="0" fontId="0" fillId="0" borderId="9" xfId="0" applyFont="1" applyBorder="1" applyAlignment="1">
      <alignment horizontal="right"/>
    </xf>
    <xf numFmtId="0" fontId="10" fillId="0" borderId="14" xfId="0" applyFont="1" applyFill="1" applyBorder="1" applyAlignment="1">
      <alignment wrapText="1"/>
    </xf>
    <xf numFmtId="0" fontId="10" fillId="0" borderId="11" xfId="0" applyFont="1" applyFill="1" applyBorder="1"/>
    <xf numFmtId="0" fontId="10" fillId="0" borderId="11" xfId="0" applyFont="1" applyFill="1" applyBorder="1" applyAlignment="1">
      <alignment horizontal="right"/>
    </xf>
    <xf numFmtId="0" fontId="10" fillId="0" borderId="10" xfId="0" applyFont="1" applyFill="1" applyBorder="1" applyAlignment="1">
      <alignment horizontal="right"/>
    </xf>
    <xf numFmtId="2" fontId="10" fillId="0" borderId="9" xfId="0" applyNumberFormat="1" applyFont="1" applyFill="1" applyBorder="1" applyAlignment="1">
      <alignment horizontal="right"/>
    </xf>
    <xf numFmtId="0" fontId="10" fillId="0" borderId="0" xfId="0" applyFont="1" applyFill="1" applyBorder="1" applyAlignment="1">
      <alignment horizontal="right"/>
    </xf>
    <xf numFmtId="0" fontId="0" fillId="4" borderId="15" xfId="0" applyFont="1" applyFill="1" applyBorder="1"/>
    <xf numFmtId="0" fontId="0" fillId="4" borderId="11" xfId="0" applyFont="1" applyFill="1" applyBorder="1"/>
    <xf numFmtId="0" fontId="10" fillId="4" borderId="11" xfId="0" applyFont="1" applyFill="1" applyBorder="1" applyAlignment="1">
      <alignment horizontal="right"/>
    </xf>
    <xf numFmtId="2" fontId="10" fillId="4" borderId="11" xfId="0" applyNumberFormat="1" applyFont="1" applyFill="1" applyBorder="1" applyAlignment="1">
      <alignment horizontal="right"/>
    </xf>
    <xf numFmtId="2" fontId="10" fillId="4" borderId="9" xfId="0" applyNumberFormat="1" applyFont="1" applyFill="1" applyBorder="1" applyAlignment="1">
      <alignment horizontal="right"/>
    </xf>
    <xf numFmtId="0" fontId="11" fillId="0" borderId="0" xfId="0" applyFont="1"/>
    <xf numFmtId="0" fontId="0" fillId="4" borderId="14" xfId="0" applyFont="1" applyFill="1" applyBorder="1"/>
    <xf numFmtId="2" fontId="10" fillId="4" borderId="9" xfId="0" applyNumberFormat="1" applyFont="1" applyFill="1" applyBorder="1" applyAlignment="1">
      <alignment horizontal="right" wrapText="1"/>
    </xf>
    <xf numFmtId="49" fontId="0" fillId="0" borderId="9" xfId="0" applyNumberFormat="1" applyBorder="1" applyAlignment="1">
      <alignment horizontal="left"/>
    </xf>
    <xf numFmtId="0" fontId="0" fillId="0" borderId="0" xfId="0" applyAlignment="1">
      <alignment horizontal="right"/>
    </xf>
    <xf numFmtId="0" fontId="14" fillId="0" borderId="0" xfId="0" applyFont="1" applyFill="1" applyAlignment="1"/>
    <xf numFmtId="0" fontId="16" fillId="3" borderId="9" xfId="0" applyFont="1" applyFill="1" applyBorder="1" applyAlignment="1" applyProtection="1">
      <alignment horizontal="center" vertical="center" wrapText="1"/>
    </xf>
    <xf numFmtId="164" fontId="16" fillId="3" borderId="9" xfId="0" applyNumberFormat="1" applyFont="1" applyFill="1" applyBorder="1" applyAlignment="1" applyProtection="1">
      <alignment horizontal="center" vertical="center" wrapText="1"/>
    </xf>
    <xf numFmtId="4" fontId="16" fillId="3" borderId="9" xfId="0" applyNumberFormat="1" applyFont="1" applyFill="1" applyBorder="1" applyAlignment="1" applyProtection="1">
      <alignment horizontal="center" vertical="center" wrapText="1"/>
    </xf>
    <xf numFmtId="0" fontId="17" fillId="0" borderId="0" xfId="0" applyFont="1"/>
    <xf numFmtId="0" fontId="10" fillId="0" borderId="15" xfId="0" applyFont="1" applyFill="1" applyBorder="1" applyAlignment="1">
      <alignment wrapText="1"/>
    </xf>
    <xf numFmtId="0" fontId="10" fillId="0" borderId="16" xfId="0" applyFont="1" applyFill="1" applyBorder="1"/>
    <xf numFmtId="0" fontId="10" fillId="0" borderId="16" xfId="0" applyFont="1" applyFill="1" applyBorder="1" applyAlignment="1">
      <alignment horizontal="right"/>
    </xf>
    <xf numFmtId="0" fontId="10" fillId="0" borderId="17" xfId="0" applyFont="1" applyFill="1" applyBorder="1" applyAlignment="1">
      <alignment horizontal="right"/>
    </xf>
    <xf numFmtId="2" fontId="10" fillId="0" borderId="18" xfId="0" applyNumberFormat="1" applyFont="1" applyFill="1" applyBorder="1" applyAlignment="1">
      <alignment horizontal="right"/>
    </xf>
    <xf numFmtId="0" fontId="0" fillId="0" borderId="11" xfId="0" applyFont="1" applyBorder="1"/>
    <xf numFmtId="0" fontId="10" fillId="4" borderId="9" xfId="0" applyFont="1" applyFill="1" applyBorder="1"/>
    <xf numFmtId="0" fontId="0" fillId="0" borderId="9" xfId="0" applyFont="1" applyBorder="1"/>
    <xf numFmtId="0" fontId="1" fillId="0" borderId="0" xfId="0" applyFont="1" applyAlignment="1">
      <alignment horizontal="right"/>
    </xf>
    <xf numFmtId="4" fontId="0" fillId="0" borderId="9" xfId="0" applyNumberFormat="1" applyFont="1" applyBorder="1" applyAlignment="1">
      <alignment horizontal="right"/>
    </xf>
    <xf numFmtId="165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11" fillId="0" borderId="0" xfId="0" applyFont="1"/>
    <xf numFmtId="0" fontId="12" fillId="0" borderId="0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3" fillId="0" borderId="0" xfId="0" applyFont="1" applyFill="1" applyBorder="1" applyAlignment="1">
      <alignment horizontal="center"/>
    </xf>
    <xf numFmtId="0" fontId="15" fillId="0" borderId="0" xfId="0" applyFont="1" applyAlignment="1">
      <alignment horizontal="right"/>
    </xf>
    <xf numFmtId="0" fontId="11" fillId="0" borderId="0" xfId="0" applyFont="1"/>
    <xf numFmtId="0" fontId="9" fillId="0" borderId="8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7" fillId="0" borderId="0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2" borderId="6" xfId="0" applyFont="1" applyFill="1" applyBorder="1" applyAlignment="1" applyProtection="1">
      <alignment horizontal="left"/>
    </xf>
    <xf numFmtId="0" fontId="2" fillId="2" borderId="8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2" fillId="2" borderId="3" xfId="0" applyFont="1" applyFill="1" applyBorder="1" applyAlignment="1" applyProtection="1">
      <alignment horizontal="left"/>
    </xf>
    <xf numFmtId="0" fontId="2" fillId="2" borderId="2" xfId="0" applyFont="1" applyFill="1" applyBorder="1" applyAlignment="1" applyProtection="1">
      <alignment horizontal="left"/>
    </xf>
    <xf numFmtId="4" fontId="3" fillId="2" borderId="3" xfId="0" applyNumberFormat="1" applyFont="1" applyFill="1" applyBorder="1" applyAlignment="1" applyProtection="1">
      <alignment horizontal="left"/>
    </xf>
    <xf numFmtId="4" fontId="3" fillId="2" borderId="2" xfId="0" applyNumberFormat="1" applyFont="1" applyFill="1" applyBorder="1" applyAlignment="1" applyProtection="1">
      <alignment horizontal="left"/>
    </xf>
    <xf numFmtId="0" fontId="2" fillId="2" borderId="4" xfId="0" applyFont="1" applyFill="1" applyBorder="1" applyAlignment="1" applyProtection="1">
      <alignment horizontal="center"/>
    </xf>
    <xf numFmtId="0" fontId="2" fillId="2" borderId="0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left"/>
    </xf>
    <xf numFmtId="0" fontId="2" fillId="2" borderId="0" xfId="0" applyFont="1" applyFill="1" applyBorder="1" applyAlignment="1" applyProtection="1">
      <alignment horizontal="left"/>
    </xf>
    <xf numFmtId="4" fontId="3" fillId="2" borderId="0" xfId="0" applyNumberFormat="1" applyFont="1" applyFill="1" applyBorder="1" applyAlignment="1" applyProtection="1">
      <alignment horizontal="left"/>
    </xf>
    <xf numFmtId="4" fontId="3" fillId="2" borderId="5" xfId="0" applyNumberFormat="1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91699</xdr:colOff>
      <xdr:row>0</xdr:row>
      <xdr:rowOff>28574</xdr:rowOff>
    </xdr:from>
    <xdr:to>
      <xdr:col>1</xdr:col>
      <xdr:colOff>371475</xdr:colOff>
      <xdr:row>2</xdr:row>
      <xdr:rowOff>33747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91699" y="28574"/>
          <a:ext cx="946526" cy="48142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104776</xdr:colOff>
      <xdr:row>0</xdr:row>
      <xdr:rowOff>123824</xdr:rowOff>
    </xdr:from>
    <xdr:to>
      <xdr:col>2</xdr:col>
      <xdr:colOff>1390650</xdr:colOff>
      <xdr:row>5</xdr:row>
      <xdr:rowOff>190499</xdr:rowOff>
    </xdr:to>
    <xdr:pic>
      <xdr:nvPicPr>
        <xdr:cNvPr id="2" name="Picture 2" descr="Logo with pte ltd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776" y="123824"/>
          <a:ext cx="2562224" cy="1209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1"/>
  <sheetViews>
    <sheetView showGridLines="0" tabSelected="1" workbookViewId="0">
      <selection activeCell="A7" sqref="A7:G7"/>
    </sheetView>
  </sheetViews>
  <sheetFormatPr defaultRowHeight="17.25"/>
  <cols>
    <col min="1" max="1" width="10" style="56" customWidth="1"/>
    <col min="2" max="2" width="39.7109375" style="56" customWidth="1"/>
    <col min="3" max="3" width="24" style="56" customWidth="1"/>
    <col min="4" max="4" width="9" style="56" customWidth="1"/>
    <col min="5" max="5" width="7.5703125" style="56" customWidth="1"/>
    <col min="6" max="6" width="18.140625" style="56" customWidth="1"/>
    <col min="7" max="7" width="19.85546875" style="56" customWidth="1"/>
    <col min="8" max="8" width="9.140625" style="56"/>
    <col min="9" max="9" width="13.7109375" style="56" bestFit="1" customWidth="1"/>
    <col min="10" max="11" width="9.140625" style="56"/>
    <col min="12" max="12" width="9" style="56" customWidth="1"/>
    <col min="13" max="13" width="12.42578125" style="56" customWidth="1"/>
    <col min="14" max="14" width="16.28515625" style="56" customWidth="1"/>
    <col min="15" max="15" width="16.140625" style="56" customWidth="1"/>
    <col min="16" max="16" width="12" style="56" customWidth="1"/>
    <col min="17" max="17" width="10.42578125" style="56" customWidth="1"/>
    <col min="18" max="18" width="8.28515625" style="56" customWidth="1"/>
    <col min="19" max="19" width="10.28515625" style="56" customWidth="1"/>
    <col min="20" max="20" width="10.140625" style="56" customWidth="1"/>
    <col min="21" max="21" width="9.140625" style="56" customWidth="1"/>
    <col min="22" max="22" width="11" style="56" customWidth="1"/>
    <col min="23" max="23" width="9.140625" style="56"/>
    <col min="24" max="24" width="14" style="56" customWidth="1"/>
    <col min="25" max="25" width="12" style="56" customWidth="1"/>
    <col min="26" max="16384" width="9.140625" style="56"/>
  </cols>
  <sheetData>
    <row r="1" spans="1:25" ht="18.75" customHeight="1">
      <c r="A1" s="80" t="s">
        <v>59</v>
      </c>
      <c r="B1" s="80"/>
      <c r="C1" s="80"/>
      <c r="D1" s="80"/>
      <c r="E1" s="80"/>
      <c r="F1" s="80"/>
      <c r="G1" s="80"/>
      <c r="H1" s="78"/>
    </row>
    <row r="2" spans="1:25" ht="18.75" customHeight="1">
      <c r="A2" s="81" t="s">
        <v>60</v>
      </c>
      <c r="B2" s="81"/>
      <c r="C2" s="81"/>
      <c r="D2" s="81"/>
      <c r="E2" s="81"/>
      <c r="F2" s="81"/>
      <c r="G2" s="81"/>
    </row>
    <row r="3" spans="1:25" ht="18.75" customHeight="1">
      <c r="A3" s="61"/>
      <c r="B3" s="61"/>
      <c r="D3" s="60"/>
      <c r="E3" s="60"/>
      <c r="F3" s="60"/>
      <c r="G3" s="77" t="s">
        <v>61</v>
      </c>
    </row>
    <row r="4" spans="1:25" ht="18.75" customHeight="1">
      <c r="A4" s="81" t="s">
        <v>62</v>
      </c>
      <c r="B4" s="81"/>
      <c r="C4" s="81"/>
      <c r="D4" s="81"/>
      <c r="E4" s="81"/>
      <c r="F4" s="81"/>
      <c r="G4" s="81"/>
    </row>
    <row r="5" spans="1:25">
      <c r="A5" s="81" t="s">
        <v>63</v>
      </c>
      <c r="B5" s="81"/>
      <c r="C5" s="81"/>
      <c r="D5" s="81"/>
      <c r="E5" s="81"/>
      <c r="F5" s="81"/>
      <c r="G5" s="81"/>
    </row>
    <row r="6" spans="1:25">
      <c r="A6"/>
      <c r="B6"/>
      <c r="C6" s="83" t="s">
        <v>64</v>
      </c>
      <c r="D6" s="83"/>
      <c r="E6" s="83"/>
      <c r="F6" s="83"/>
      <c r="G6" s="83"/>
    </row>
    <row r="7" spans="1:25">
      <c r="A7" s="82" t="s">
        <v>40</v>
      </c>
      <c r="B7" s="82"/>
      <c r="C7" s="82"/>
      <c r="D7" s="82"/>
      <c r="E7" s="82"/>
      <c r="F7" s="82"/>
      <c r="G7" s="82"/>
    </row>
    <row r="8" spans="1:25">
      <c r="A8" s="84" t="s">
        <v>58</v>
      </c>
      <c r="B8" s="84"/>
      <c r="C8" s="79"/>
      <c r="D8" s="79"/>
      <c r="E8" s="79"/>
      <c r="F8" s="65" t="s">
        <v>53</v>
      </c>
      <c r="G8" s="74" t="s">
        <v>7</v>
      </c>
    </row>
    <row r="9" spans="1:25">
      <c r="F9" s="65" t="s">
        <v>54</v>
      </c>
      <c r="G9" s="76" t="s">
        <v>10</v>
      </c>
    </row>
    <row r="10" spans="1:25" s="8" customFormat="1" ht="55.5" customHeight="1">
      <c r="A10" s="62" t="s">
        <v>41</v>
      </c>
      <c r="B10" s="62" t="s">
        <v>42</v>
      </c>
      <c r="C10" s="62" t="s">
        <v>43</v>
      </c>
      <c r="D10" s="62" t="s">
        <v>30</v>
      </c>
      <c r="E10" s="63" t="s">
        <v>31</v>
      </c>
      <c r="F10" s="64" t="s">
        <v>29</v>
      </c>
      <c r="G10" s="64" t="s">
        <v>44</v>
      </c>
    </row>
    <row r="11" spans="1:25" s="8" customFormat="1" ht="1.5" hidden="1" customHeight="1">
      <c r="A11" s="39"/>
      <c r="B11" s="39"/>
      <c r="C11" s="40"/>
      <c r="D11" s="39"/>
      <c r="E11" s="40"/>
      <c r="F11" s="39"/>
      <c r="G11" s="39"/>
    </row>
    <row r="12" spans="1:25" s="8" customFormat="1" ht="33.75" customHeight="1">
      <c r="A12" s="41" t="s">
        <v>52</v>
      </c>
      <c r="B12" s="42" t="s">
        <v>51</v>
      </c>
      <c r="C12" s="59" t="s">
        <v>50</v>
      </c>
      <c r="D12" s="44" t="s">
        <v>49</v>
      </c>
      <c r="E12" s="44" t="s">
        <v>48</v>
      </c>
      <c r="F12" s="75" t="s">
        <v>47</v>
      </c>
      <c r="G12" s="43" t="e">
        <f ca="1">INDIRECT(ADDRESS(ROW(), COLUMN(E1))) * INDIRECT(ADDRESS(ROW(), COLUMN(F1)))</f>
        <v>#VALUE!</v>
      </c>
      <c r="H12" s="7"/>
      <c r="Y12"/>
    </row>
    <row r="13" spans="1:25" s="8" customFormat="1" ht="26.25" customHeight="1">
      <c r="A13" s="45"/>
      <c r="B13" s="46"/>
      <c r="C13" s="46" t="s">
        <v>20</v>
      </c>
      <c r="D13" s="47"/>
      <c r="E13" s="71"/>
      <c r="F13" s="48" t="s">
        <v>45</v>
      </c>
      <c r="G13" s="49" t="e">
        <f ca="1">SUM(INDIRECT(ADDRESS("[blkMain.start_row]", COLUMN(G1))) : INDIRECT(ADDRESS(ROW()-1,COLUMN())) )</f>
        <v>#VALUE!</v>
      </c>
      <c r="I13" s="50" t="s">
        <v>20</v>
      </c>
      <c r="J13" s="8" t="s">
        <v>20</v>
      </c>
    </row>
    <row r="14" spans="1:25" s="8" customFormat="1" ht="26.25" customHeight="1">
      <c r="A14" s="66"/>
      <c r="B14" s="67"/>
      <c r="C14" s="67"/>
      <c r="D14" s="68"/>
      <c r="F14" s="69" t="s">
        <v>56</v>
      </c>
      <c r="G14" s="70" t="s">
        <v>57</v>
      </c>
      <c r="I14" s="50"/>
    </row>
    <row r="15" spans="1:25" s="8" customFormat="1" ht="26.25" customHeight="1">
      <c r="A15" s="57"/>
      <c r="B15" s="52"/>
      <c r="C15" s="52"/>
      <c r="D15" s="53"/>
      <c r="E15" s="53"/>
      <c r="F15" s="54" t="s">
        <v>39</v>
      </c>
      <c r="G15" s="55" t="e">
        <f ca="1">(SUM(INDIRECT(ADDRESS("[blkMain.start_row]",COLUMN(G1)))  : INDIRECT(ADDRESS(ROW()-3,COLUMN())))- ("[blkDiscount.discount]"))</f>
        <v>#VALUE!</v>
      </c>
      <c r="I15" s="72" t="s">
        <v>66</v>
      </c>
    </row>
    <row r="16" spans="1:25" s="8" customFormat="1" ht="26.25" customHeight="1">
      <c r="A16" s="51"/>
      <c r="B16" s="52"/>
      <c r="C16" s="52"/>
      <c r="D16" s="53"/>
      <c r="E16" s="53"/>
      <c r="F16" s="54" t="s">
        <v>65</v>
      </c>
      <c r="G16" s="55" t="e">
        <f ca="1">(SUM(INDIRECT(ADDRESS("[blkMain.start_row]",COLUMN(G1))):INDIRECT(ADDRESS(ROW()-4,COLUMN())))-("[blkDiscount.discount]"))*((INDIRECT(ADDRESS(ROW(),COLUMN(I1))))/100)</f>
        <v>#VALUE!</v>
      </c>
      <c r="I16" s="73"/>
      <c r="Y16"/>
    </row>
    <row r="17" spans="1:25" s="8" customFormat="1" ht="15" hidden="1">
      <c r="Y17"/>
    </row>
    <row r="18" spans="1:25" s="8" customFormat="1" ht="26.25" customHeight="1">
      <c r="A18" s="57"/>
      <c r="B18" s="52"/>
      <c r="C18" s="52"/>
      <c r="D18" s="53"/>
      <c r="E18" s="53"/>
      <c r="F18" s="54" t="s">
        <v>46</v>
      </c>
      <c r="G18" s="58" t="e">
        <f ca="1">SUM(INDIRECT(ADDRESS("[blkMain.start_row]",COLUMN(G1))):INDIRECT(ADDRESS(ROW()-6,COLUMN())))-("[blkDiscount.discount]") + SUM(INDIRECT(ADDRESS(ROW()-2,COLUMN(I1)))/100 *(SUM(INDIRECT(ADDRESS("[blkMain.start_row]",COLUMN(G1))):INDIRECT(ADDRESS(ROW()-6,COLUMN())))-("[blkDiscount.discount]")))</f>
        <v>#VALUE!</v>
      </c>
    </row>
    <row r="19" spans="1:25" s="8" customFormat="1" ht="24.75" customHeight="1">
      <c r="B19" s="8" t="s">
        <v>55</v>
      </c>
    </row>
    <row r="20" spans="1:25" ht="24.75" customHeight="1">
      <c r="B20" s="8" t="s">
        <v>55</v>
      </c>
    </row>
    <row r="21" spans="1:25" ht="23.25" customHeight="1">
      <c r="B21" s="8" t="s">
        <v>55</v>
      </c>
    </row>
  </sheetData>
  <mergeCells count="8">
    <mergeCell ref="C8:E8"/>
    <mergeCell ref="A1:G1"/>
    <mergeCell ref="A2:G2"/>
    <mergeCell ref="A4:G4"/>
    <mergeCell ref="A7:G7"/>
    <mergeCell ref="A5:G5"/>
    <mergeCell ref="C6:G6"/>
    <mergeCell ref="A8:B8"/>
  </mergeCells>
  <pageMargins left="0.7" right="0.7" top="0.75" bottom="0.75" header="0.3" footer="0.3"/>
  <pageSetup scale="75" orientation="landscape" verticalDpi="300" r:id="rId1"/>
  <ignoredErrors>
    <ignoredError sqref="G12:G13 G18 G15:G16" evalErro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P22"/>
  <sheetViews>
    <sheetView workbookViewId="0">
      <selection activeCell="R17" sqref="R17"/>
    </sheetView>
  </sheetViews>
  <sheetFormatPr defaultRowHeight="15"/>
  <cols>
    <col min="1" max="1" width="6.28515625" customWidth="1"/>
    <col min="2" max="2" width="12.85546875" customWidth="1"/>
    <col min="3" max="3" width="34.85546875" customWidth="1"/>
    <col min="4" max="4" width="6.7109375" customWidth="1"/>
    <col min="5" max="5" width="6.28515625" customWidth="1"/>
    <col min="6" max="6" width="5.28515625" customWidth="1"/>
    <col min="7" max="7" width="8.140625" customWidth="1"/>
    <col min="8" max="8" width="12" customWidth="1"/>
    <col min="9" max="9" width="10.85546875" customWidth="1"/>
    <col min="10" max="10" width="7.140625" customWidth="1"/>
    <col min="11" max="11" width="10" customWidth="1"/>
    <col min="16" max="16" width="9.140625" style="36"/>
  </cols>
  <sheetData>
    <row r="2" spans="1:16" ht="18.75" customHeight="1">
      <c r="A2" s="86" t="s">
        <v>0</v>
      </c>
      <c r="B2" s="86"/>
      <c r="C2" s="86"/>
      <c r="D2" s="86"/>
      <c r="E2" s="86"/>
      <c r="F2" s="86"/>
      <c r="G2" s="86"/>
      <c r="H2" s="86"/>
      <c r="I2" s="86"/>
      <c r="J2" s="86"/>
      <c r="K2" s="86"/>
    </row>
    <row r="3" spans="1:16" ht="18.75" customHeight="1">
      <c r="A3" s="86" t="s">
        <v>1</v>
      </c>
      <c r="B3" s="86"/>
      <c r="C3" s="86"/>
      <c r="D3" s="86"/>
      <c r="E3" s="86"/>
      <c r="F3" s="86"/>
      <c r="G3" s="86"/>
      <c r="H3" s="86"/>
      <c r="I3" s="86"/>
      <c r="J3" s="86"/>
      <c r="K3" s="86"/>
    </row>
    <row r="4" spans="1:16" ht="18.75" customHeight="1">
      <c r="A4" s="86" t="s">
        <v>2</v>
      </c>
      <c r="B4" s="86"/>
      <c r="C4" s="86"/>
      <c r="D4" s="86"/>
      <c r="E4" s="86"/>
      <c r="F4" s="86"/>
      <c r="G4" s="86"/>
      <c r="H4" s="86"/>
      <c r="I4" s="86"/>
      <c r="J4" s="86"/>
      <c r="K4" s="86"/>
    </row>
    <row r="5" spans="1:16" ht="18.75" customHeight="1">
      <c r="A5" s="86" t="s">
        <v>3</v>
      </c>
      <c r="B5" s="86"/>
      <c r="C5" s="86"/>
      <c r="D5" s="86"/>
      <c r="E5" s="86"/>
      <c r="F5" s="86"/>
      <c r="G5" s="86"/>
      <c r="H5" s="86"/>
      <c r="I5" s="86"/>
      <c r="J5" s="86"/>
      <c r="K5" s="86"/>
    </row>
    <row r="8" spans="1:16" ht="18.75">
      <c r="A8" s="87" t="s">
        <v>4</v>
      </c>
      <c r="B8" s="87"/>
      <c r="C8" s="87"/>
      <c r="D8" s="87"/>
      <c r="E8" s="87"/>
      <c r="F8" s="87"/>
      <c r="G8" s="87"/>
      <c r="H8" s="87"/>
      <c r="I8" s="87"/>
      <c r="J8" s="87"/>
      <c r="K8" s="87"/>
    </row>
    <row r="9" spans="1:16" ht="19.5" thickBot="1">
      <c r="C9" s="85" t="s">
        <v>38</v>
      </c>
      <c r="D9" s="85"/>
      <c r="E9" s="85"/>
      <c r="F9" s="85"/>
      <c r="G9" s="85"/>
      <c r="H9" s="85"/>
      <c r="I9" s="85"/>
    </row>
    <row r="10" spans="1:16" ht="16.5">
      <c r="A10" s="93" t="s">
        <v>5</v>
      </c>
      <c r="B10" s="94"/>
      <c r="C10" s="95"/>
      <c r="D10" s="93" t="s">
        <v>6</v>
      </c>
      <c r="E10" s="94"/>
      <c r="F10" s="96" t="s">
        <v>7</v>
      </c>
      <c r="G10" s="96"/>
      <c r="H10" s="96"/>
      <c r="I10" s="96"/>
      <c r="J10" s="96"/>
      <c r="K10" s="97"/>
    </row>
    <row r="11" spans="1:16" ht="16.5">
      <c r="A11" s="98" t="s">
        <v>8</v>
      </c>
      <c r="B11" s="99"/>
      <c r="C11" s="100"/>
      <c r="D11" s="101" t="s">
        <v>9</v>
      </c>
      <c r="E11" s="102"/>
      <c r="F11" s="103" t="s">
        <v>10</v>
      </c>
      <c r="G11" s="103"/>
      <c r="H11" s="103"/>
      <c r="I11" s="103"/>
      <c r="J11" s="103"/>
      <c r="K11" s="104"/>
    </row>
    <row r="12" spans="1:16" ht="17.25" thickBot="1">
      <c r="A12" s="88"/>
      <c r="B12" s="89"/>
      <c r="C12" s="90"/>
      <c r="D12" s="91" t="s">
        <v>11</v>
      </c>
      <c r="E12" s="92"/>
      <c r="F12" s="2" t="s">
        <v>12</v>
      </c>
      <c r="G12" s="2"/>
      <c r="H12" s="2"/>
      <c r="I12" s="2"/>
      <c r="J12" s="2"/>
      <c r="K12" s="3"/>
    </row>
    <row r="14" spans="1:16" ht="26.25" customHeight="1">
      <c r="A14" s="1"/>
      <c r="B14" s="1"/>
      <c r="C14" s="30" t="s">
        <v>28</v>
      </c>
      <c r="D14" s="1"/>
      <c r="E14" s="1"/>
      <c r="F14" s="1"/>
      <c r="G14" s="1"/>
      <c r="H14" s="1"/>
      <c r="I14" s="1"/>
      <c r="J14" s="1"/>
      <c r="K14" s="1"/>
    </row>
    <row r="15" spans="1:16" s="8" customFormat="1" ht="55.5" customHeight="1">
      <c r="A15" s="9" t="s">
        <v>27</v>
      </c>
      <c r="B15" s="9" t="s">
        <v>36</v>
      </c>
      <c r="C15" s="10" t="s">
        <v>18</v>
      </c>
      <c r="D15" s="9" t="s">
        <v>29</v>
      </c>
      <c r="E15" s="9" t="s">
        <v>30</v>
      </c>
      <c r="F15" s="10" t="s">
        <v>31</v>
      </c>
      <c r="G15" s="9" t="s">
        <v>32</v>
      </c>
      <c r="H15" s="35" t="s">
        <v>37</v>
      </c>
      <c r="I15" s="9" t="s">
        <v>33</v>
      </c>
      <c r="J15" s="9" t="s">
        <v>34</v>
      </c>
      <c r="K15" s="9" t="s">
        <v>35</v>
      </c>
      <c r="P15" s="37"/>
    </row>
    <row r="16" spans="1:16" s="8" customFormat="1" ht="18.75" customHeight="1">
      <c r="A16" s="22"/>
      <c r="B16" s="22"/>
      <c r="C16" s="23"/>
      <c r="D16" s="22"/>
      <c r="E16" s="22"/>
      <c r="F16" s="23"/>
      <c r="G16" s="22"/>
      <c r="H16" s="34" t="s">
        <v>25</v>
      </c>
      <c r="I16" s="34" t="s">
        <v>26</v>
      </c>
      <c r="J16" s="22"/>
      <c r="K16" s="22"/>
    </row>
    <row r="17" spans="1:16" s="8" customFormat="1" ht="33.75" customHeight="1">
      <c r="A17" s="31" t="s">
        <v>14</v>
      </c>
      <c r="B17" s="5" t="s">
        <v>23</v>
      </c>
      <c r="C17" s="29" t="s">
        <v>13</v>
      </c>
      <c r="D17" s="17" t="s">
        <v>24</v>
      </c>
      <c r="E17" s="6" t="s">
        <v>15</v>
      </c>
      <c r="F17" s="6" t="s">
        <v>16</v>
      </c>
      <c r="G17" s="17" t="e">
        <f ca="1">INDIRECT(ADDRESS(ROW(), COLUMN(D1))) * INDIRECT(ADDRESS(ROW(), COLUMN(F1)))</f>
        <v>#VALUE!</v>
      </c>
      <c r="H17" s="17" t="e">
        <f ca="1">(INDIRECT(ADDRESS(ROW(), COLUMN(G1))) * INDIRECT(ADDRESS("[mb.start_row]", COLUMN(H1))))/100</f>
        <v>#VALUE!</v>
      </c>
      <c r="I17" s="17" t="e">
        <f ca="1">(INDIRECT(ADDRESS(ROW(), COLUMN(G1))) * INDIRECT(ADDRESS("[mb.start_row]", COLUMN(I1))))/100</f>
        <v>#VALUE!</v>
      </c>
      <c r="J17" s="17" t="s">
        <v>17</v>
      </c>
      <c r="K17" s="17" t="e">
        <f ca="1">INDIRECT(ADDRESS(ROW(), COLUMN(F1))) * INDIRECT(ADDRESS(ROW(), COLUMN(J1)))</f>
        <v>#VALUE!</v>
      </c>
      <c r="L17" s="7"/>
      <c r="P17" s="37"/>
    </row>
    <row r="18" spans="1:16" s="12" customFormat="1" ht="26.25" customHeight="1">
      <c r="A18" s="33"/>
      <c r="B18" s="14"/>
      <c r="C18" s="14" t="s">
        <v>20</v>
      </c>
      <c r="D18" s="13"/>
      <c r="E18" s="15"/>
      <c r="F18" s="11" t="s">
        <v>19</v>
      </c>
      <c r="G18" s="18" t="e">
        <f ca="1">SUM(INDIRECT(ADDRESS("[mb.start_row]", COLUMN(G1))) : INDIRECT(ADDRESS(ROW()-1,COLUMN())) )</f>
        <v>#VALUE!</v>
      </c>
      <c r="H18" s="19" t="e">
        <f ca="1">SUM(INDIRECT(ADDRESS("[mb.start_row]", COLUMN(H1))) : INDIRECT(ADDRESS(ROW()-1,COLUMN())) )</f>
        <v>#VALUE!</v>
      </c>
      <c r="I18" s="19" t="e">
        <f ca="1">SUM(INDIRECT(ADDRESS("[mb.start_row]", COLUMN(I1))) : INDIRECT(ADDRESS(ROW()-1,COLUMN())) )</f>
        <v>#VALUE!</v>
      </c>
      <c r="J18" s="20"/>
      <c r="K18" s="21" t="e">
        <f ca="1">SUM(INDIRECT(ADDRESS("[mb.start_row]", COLUMN(K1))) : INDIRECT(ADDRESS(ROW()-1,COLUMN())) )</f>
        <v>#VALUE!</v>
      </c>
      <c r="M18" s="16" t="s">
        <v>20</v>
      </c>
      <c r="N18" s="12" t="s">
        <v>20</v>
      </c>
      <c r="P18" s="38"/>
    </row>
    <row r="19" spans="1:16" s="12" customFormat="1" ht="26.25" customHeight="1">
      <c r="A19" s="32"/>
      <c r="B19" s="24"/>
      <c r="C19" s="24"/>
      <c r="D19" s="24"/>
      <c r="E19" s="25"/>
      <c r="F19" s="25" t="s">
        <v>21</v>
      </c>
      <c r="G19" s="26"/>
      <c r="H19" s="26"/>
      <c r="I19" s="27"/>
      <c r="J19" s="27"/>
      <c r="K19" s="28" t="e">
        <f ca="1">SUM(INDIRECT(ADDRESS("[mb.start_row]", COLUMN(K1))) : INDIRECT(ADDRESS(ROW()-2,COLUMN())) )</f>
        <v>#VALUE!</v>
      </c>
      <c r="P19" s="38"/>
    </row>
    <row r="20" spans="1:16" ht="24.75" customHeight="1">
      <c r="C20" t="s">
        <v>22</v>
      </c>
      <c r="D20" s="4"/>
      <c r="E20" s="4"/>
      <c r="F20" s="4"/>
      <c r="G20" s="4"/>
    </row>
    <row r="21" spans="1:16" ht="26.25" customHeight="1">
      <c r="C21" t="s">
        <v>22</v>
      </c>
    </row>
    <row r="22" spans="1:16" ht="24" customHeight="1">
      <c r="C22" t="s">
        <v>22</v>
      </c>
    </row>
  </sheetData>
  <mergeCells count="14">
    <mergeCell ref="A12:C12"/>
    <mergeCell ref="D12:E12"/>
    <mergeCell ref="A10:C10"/>
    <mergeCell ref="D10:E10"/>
    <mergeCell ref="F10:K10"/>
    <mergeCell ref="A11:C11"/>
    <mergeCell ref="D11:E11"/>
    <mergeCell ref="F11:K11"/>
    <mergeCell ref="C9:I9"/>
    <mergeCell ref="A2:K2"/>
    <mergeCell ref="A3:K3"/>
    <mergeCell ref="A4:K4"/>
    <mergeCell ref="A5:K5"/>
    <mergeCell ref="A8:K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NOVO SHIP SUPPLIES PTE LTD</dc:creator>
  <cp:lastModifiedBy>MOIN</cp:lastModifiedBy>
  <cp:lastPrinted>2014-03-22T10:43:25Z</cp:lastPrinted>
  <dcterms:created xsi:type="dcterms:W3CDTF">2013-01-03T05:22:59Z</dcterms:created>
  <dcterms:modified xsi:type="dcterms:W3CDTF">2017-10-05T07:12:54Z</dcterms:modified>
</cp:coreProperties>
</file>